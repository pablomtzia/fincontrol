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</sheets>
  <definedNames/>
  <calcPr/>
</workbook>
</file>

<file path=xl/sharedStrings.xml><?xml version="1.0" encoding="utf-8"?>
<sst xmlns="http://schemas.openxmlformats.org/spreadsheetml/2006/main" count="35" uniqueCount="27">
  <si>
    <t>INGRESOS</t>
  </si>
  <si>
    <t>Inversiones</t>
  </si>
  <si>
    <t>Inversión</t>
  </si>
  <si>
    <t>Precio Compra</t>
  </si>
  <si>
    <t>Nº acciones</t>
  </si>
  <si>
    <t>Broker</t>
  </si>
  <si>
    <t>Nómina</t>
  </si>
  <si>
    <t>Bitcoin</t>
  </si>
  <si>
    <t>Trade Republic</t>
  </si>
  <si>
    <t>Ayudas</t>
  </si>
  <si>
    <t>Alphabet</t>
  </si>
  <si>
    <t>TOTAL</t>
  </si>
  <si>
    <t>District Metals</t>
  </si>
  <si>
    <t>IBKR</t>
  </si>
  <si>
    <t>GASTOS FIJOS</t>
  </si>
  <si>
    <t>Comida</t>
  </si>
  <si>
    <t xml:space="preserve">Gym </t>
  </si>
  <si>
    <t>Claude Pro</t>
  </si>
  <si>
    <t>icloud</t>
  </si>
  <si>
    <t>Facturas</t>
  </si>
  <si>
    <t>GASTOS VARIABLES</t>
  </si>
  <si>
    <t>Apéndice</t>
  </si>
  <si>
    <t>Ocio</t>
  </si>
  <si>
    <t>Luz, Agua, Gas y Wifi</t>
  </si>
  <si>
    <t>Gasolina</t>
  </si>
  <si>
    <t>Varios</t>
  </si>
  <si>
    <t>Ropa, caprichos...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</si>
</sst>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3" fillId="0" fontId="3" numFmtId="164" xfId="0" applyAlignment="1" applyBorder="1" applyFont="1" applyNumberFormat="1">
      <alignment readingOrder="0"/>
    </xf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center" readingOrder="0"/>
    </xf>
    <xf borderId="3" fillId="0" fontId="3" numFmtId="164" xfId="0" applyBorder="1" applyFont="1" applyNumberFormat="1"/>
    <xf borderId="3" fillId="0" fontId="1" numFmtId="164" xfId="0" applyBorder="1" applyFont="1" applyNumberFormat="1"/>
    <xf borderId="3" fillId="0" fontId="3" numFmtId="0" xfId="0" applyBorder="1" applyFont="1"/>
    <xf borderId="1" fillId="4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75"/>
    <col customWidth="1" min="6" max="6" width="19.38"/>
  </cols>
  <sheetData>
    <row r="1">
      <c r="A1" s="1"/>
      <c r="B1" s="1"/>
      <c r="C1" s="1"/>
    </row>
    <row r="2">
      <c r="A2" s="1"/>
      <c r="B2" s="2" t="s">
        <v>0</v>
      </c>
      <c r="C2" s="3"/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</row>
    <row r="3">
      <c r="A3" s="5"/>
      <c r="B3" s="6" t="s">
        <v>6</v>
      </c>
      <c r="C3" s="7">
        <v>1200.0</v>
      </c>
      <c r="E3" s="6" t="s">
        <v>7</v>
      </c>
      <c r="F3" s="7">
        <v>1000.0</v>
      </c>
      <c r="G3" s="7">
        <v>68465.82</v>
      </c>
      <c r="H3" s="8">
        <v>0.014605</v>
      </c>
      <c r="I3" s="9" t="s">
        <v>8</v>
      </c>
    </row>
    <row r="4">
      <c r="A4" s="5"/>
      <c r="B4" s="6" t="s">
        <v>9</v>
      </c>
      <c r="C4" s="7">
        <v>680.0</v>
      </c>
      <c r="E4" s="6" t="s">
        <v>10</v>
      </c>
      <c r="F4" s="7">
        <v>1000.0</v>
      </c>
      <c r="G4" s="7">
        <v>183.55</v>
      </c>
      <c r="H4" s="8">
        <v>5.399803</v>
      </c>
      <c r="I4" s="9" t="s">
        <v>8</v>
      </c>
    </row>
    <row r="5">
      <c r="A5" s="5"/>
      <c r="B5" s="6" t="s">
        <v>11</v>
      </c>
      <c r="C5" s="7">
        <f>SUM(C3:C4)</f>
        <v>1880</v>
      </c>
      <c r="E5" s="6" t="s">
        <v>12</v>
      </c>
      <c r="F5" s="10">
        <f>G5*H5</f>
        <v>10.00030056</v>
      </c>
      <c r="G5" s="7">
        <v>0.7378</v>
      </c>
      <c r="H5" s="8">
        <v>13.554216</v>
      </c>
      <c r="I5" s="9" t="s">
        <v>8</v>
      </c>
    </row>
    <row r="6">
      <c r="E6" s="6" t="s">
        <v>12</v>
      </c>
      <c r="F6" s="7">
        <v>300.0</v>
      </c>
      <c r="G6" s="7">
        <f>F6/H6</f>
        <v>0.8474576271</v>
      </c>
      <c r="H6" s="8">
        <v>354.0</v>
      </c>
      <c r="I6" s="9" t="s">
        <v>13</v>
      </c>
    </row>
    <row r="7">
      <c r="E7" s="6" t="s">
        <v>11</v>
      </c>
      <c r="F7" s="11">
        <f>SUM(F3:F6)</f>
        <v>2310.000301</v>
      </c>
      <c r="G7" s="12"/>
      <c r="H7" s="12"/>
      <c r="I7" s="12"/>
    </row>
    <row r="8">
      <c r="B8" s="13" t="s">
        <v>14</v>
      </c>
      <c r="C8" s="3"/>
    </row>
    <row r="9">
      <c r="B9" s="8" t="s">
        <v>15</v>
      </c>
      <c r="C9" s="7">
        <v>250.0</v>
      </c>
    </row>
    <row r="10">
      <c r="B10" s="8" t="s">
        <v>16</v>
      </c>
      <c r="C10" s="7">
        <v>28.9</v>
      </c>
    </row>
    <row r="11">
      <c r="B11" s="8" t="s">
        <v>17</v>
      </c>
      <c r="C11" s="7">
        <v>21.78</v>
      </c>
    </row>
    <row r="12">
      <c r="B12" s="8" t="s">
        <v>18</v>
      </c>
      <c r="C12" s="7">
        <v>2.99</v>
      </c>
    </row>
    <row r="13">
      <c r="B13" s="8" t="s">
        <v>19</v>
      </c>
      <c r="C13" s="7">
        <v>50.0</v>
      </c>
    </row>
    <row r="14">
      <c r="B14" s="6" t="s">
        <v>11</v>
      </c>
      <c r="C14" s="10">
        <f>SUM(C9:C13)</f>
        <v>353.67</v>
      </c>
    </row>
    <row r="17">
      <c r="B17" s="13" t="s">
        <v>20</v>
      </c>
      <c r="C17" s="3"/>
      <c r="E17" s="14" t="s">
        <v>21</v>
      </c>
      <c r="F17" s="3"/>
    </row>
    <row r="18">
      <c r="B18" s="8" t="s">
        <v>22</v>
      </c>
      <c r="C18" s="7">
        <v>250.0</v>
      </c>
      <c r="E18" s="6" t="s">
        <v>19</v>
      </c>
      <c r="F18" s="8" t="s">
        <v>23</v>
      </c>
    </row>
    <row r="19">
      <c r="B19" s="8" t="s">
        <v>24</v>
      </c>
      <c r="C19" s="7">
        <v>0.0</v>
      </c>
      <c r="E19" s="6" t="s">
        <v>25</v>
      </c>
      <c r="F19" s="8" t="s">
        <v>26</v>
      </c>
    </row>
    <row r="20">
      <c r="B20" s="8" t="s">
        <v>25</v>
      </c>
      <c r="C20" s="7">
        <v>50.0</v>
      </c>
    </row>
    <row r="21">
      <c r="B21" s="6" t="s">
        <v>11</v>
      </c>
      <c r="C21" s="10">
        <f>SUM(C18:C20)</f>
        <v>300</v>
      </c>
    </row>
  </sheetData>
  <mergeCells count="4">
    <mergeCell ref="B2:C2"/>
    <mergeCell ref="B8:C8"/>
    <mergeCell ref="B17:C17"/>
    <mergeCell ref="E17:F17"/>
  </mergeCells>
  <drawing r:id="rId1"/>
</worksheet>
</file>